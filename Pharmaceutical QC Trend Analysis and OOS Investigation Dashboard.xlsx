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nebiat/Desktop/Python_projects /"/>
    </mc:Choice>
  </mc:AlternateContent>
  <xr:revisionPtr revIDLastSave="0" documentId="13_ncr:1_{880F23AC-C973-564A-9BEA-C46C3083599E}" xr6:coauthVersionLast="47" xr6:coauthVersionMax="47" xr10:uidLastSave="{00000000-0000-0000-0000-000000000000}"/>
  <bookViews>
    <workbookView xWindow="0" yWindow="660" windowWidth="29400" windowHeight="18460" activeTab="1" xr2:uid="{E2FC12BD-72F6-8248-805C-417A7634967D}"/>
  </bookViews>
  <sheets>
    <sheet name="Pass vs Fail Summary " sheetId="2" r:id="rId1"/>
    <sheet name="Failures by Instrument " sheetId="3" r:id="rId2"/>
    <sheet name="Sheet1" sheetId="1" r:id="rId3"/>
  </sheets>
  <definedNames>
    <definedName name="Slicer_Analyst">#N/A</definedName>
    <definedName name="Slicer_Product">#N/A</definedName>
  </definedNames>
  <calcPr calcId="181029"/>
  <pivotCaches>
    <pivotCache cacheId="5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<sst xmlns="http://schemas.openxmlformats.org/spreadsheetml/2006/main" count="311" uniqueCount="124">
  <si>
    <t>Raw  Data set</t>
  </si>
  <si>
    <t xml:space="preserve">Test_Id </t>
  </si>
  <si>
    <t>Date</t>
  </si>
  <si>
    <t xml:space="preserve">Product </t>
  </si>
  <si>
    <t xml:space="preserve">Analyst </t>
  </si>
  <si>
    <t xml:space="preserve">Instrument </t>
  </si>
  <si>
    <t>Result</t>
  </si>
  <si>
    <t xml:space="preserve">Status </t>
  </si>
  <si>
    <t>Batch</t>
  </si>
  <si>
    <t>T001</t>
  </si>
  <si>
    <t>Vaccine A</t>
  </si>
  <si>
    <t>John</t>
  </si>
  <si>
    <t>HPLC-1</t>
  </si>
  <si>
    <t>Pass</t>
  </si>
  <si>
    <t>B1001</t>
  </si>
  <si>
    <t>T002</t>
  </si>
  <si>
    <t>Vaccine B</t>
  </si>
  <si>
    <t>Sarah</t>
  </si>
  <si>
    <t>HPLC-2</t>
  </si>
  <si>
    <t>B1002</t>
  </si>
  <si>
    <t>T003</t>
  </si>
  <si>
    <t>Vaccine C</t>
  </si>
  <si>
    <t>Mike</t>
  </si>
  <si>
    <t>GC-1</t>
  </si>
  <si>
    <t>Fail</t>
  </si>
  <si>
    <t>B1003</t>
  </si>
  <si>
    <t>T004</t>
  </si>
  <si>
    <t>Lisa</t>
  </si>
  <si>
    <t>UV-Vis-1</t>
  </si>
  <si>
    <t>B1004</t>
  </si>
  <si>
    <t>T005</t>
  </si>
  <si>
    <t>B1005</t>
  </si>
  <si>
    <t>T006</t>
  </si>
  <si>
    <t>B1006</t>
  </si>
  <si>
    <t>T007</t>
  </si>
  <si>
    <t>B1007</t>
  </si>
  <si>
    <t>T008</t>
  </si>
  <si>
    <t>B1008</t>
  </si>
  <si>
    <t>T009</t>
  </si>
  <si>
    <t>B1009</t>
  </si>
  <si>
    <t>T010</t>
  </si>
  <si>
    <t>B1010</t>
  </si>
  <si>
    <t>T011</t>
  </si>
  <si>
    <t>B1011</t>
  </si>
  <si>
    <t>T012</t>
  </si>
  <si>
    <t>B1012</t>
  </si>
  <si>
    <t>T013</t>
  </si>
  <si>
    <t>B1013</t>
  </si>
  <si>
    <t>T014</t>
  </si>
  <si>
    <t>B1014</t>
  </si>
  <si>
    <t>T015</t>
  </si>
  <si>
    <t>B1015</t>
  </si>
  <si>
    <t>T016</t>
  </si>
  <si>
    <t>B1016</t>
  </si>
  <si>
    <t>T017</t>
  </si>
  <si>
    <t>B1017</t>
  </si>
  <si>
    <t>T018</t>
  </si>
  <si>
    <t>B1018</t>
  </si>
  <si>
    <t>T019</t>
  </si>
  <si>
    <t>B1019</t>
  </si>
  <si>
    <t>T020</t>
  </si>
  <si>
    <t>B1020</t>
  </si>
  <si>
    <t>T021</t>
  </si>
  <si>
    <t>B1021</t>
  </si>
  <si>
    <t>T022</t>
  </si>
  <si>
    <t>B1022</t>
  </si>
  <si>
    <t>T023</t>
  </si>
  <si>
    <t>B1023</t>
  </si>
  <si>
    <t>T024</t>
  </si>
  <si>
    <t>B1024</t>
  </si>
  <si>
    <t>T025</t>
  </si>
  <si>
    <t>B1025</t>
  </si>
  <si>
    <t>T026</t>
  </si>
  <si>
    <t>B1026</t>
  </si>
  <si>
    <t>T027</t>
  </si>
  <si>
    <t>B1027</t>
  </si>
  <si>
    <t>T028</t>
  </si>
  <si>
    <t>B1028</t>
  </si>
  <si>
    <t>T029</t>
  </si>
  <si>
    <t>B1029</t>
  </si>
  <si>
    <t>T030</t>
  </si>
  <si>
    <t>B1030</t>
  </si>
  <si>
    <t>T031</t>
  </si>
  <si>
    <t>B1031</t>
  </si>
  <si>
    <t>T032</t>
  </si>
  <si>
    <t>B1032</t>
  </si>
  <si>
    <t>T033</t>
  </si>
  <si>
    <t>B1033</t>
  </si>
  <si>
    <t>T034</t>
  </si>
  <si>
    <t>B1034</t>
  </si>
  <si>
    <t>T035</t>
  </si>
  <si>
    <t>B1035</t>
  </si>
  <si>
    <t>T036</t>
  </si>
  <si>
    <t>B1036</t>
  </si>
  <si>
    <t>T037</t>
  </si>
  <si>
    <t>B1037</t>
  </si>
  <si>
    <t>T038</t>
  </si>
  <si>
    <t>B1038</t>
  </si>
  <si>
    <t>T039</t>
  </si>
  <si>
    <t>B1039</t>
  </si>
  <si>
    <t>T040</t>
  </si>
  <si>
    <t>B1040</t>
  </si>
  <si>
    <t>T041</t>
  </si>
  <si>
    <t>B1041</t>
  </si>
  <si>
    <t>T042</t>
  </si>
  <si>
    <t>B1042</t>
  </si>
  <si>
    <t>T043</t>
  </si>
  <si>
    <t>B1043</t>
  </si>
  <si>
    <t>T044</t>
  </si>
  <si>
    <t>B1044</t>
  </si>
  <si>
    <t>T045</t>
  </si>
  <si>
    <t>B1045</t>
  </si>
  <si>
    <t>T046</t>
  </si>
  <si>
    <t>B1046</t>
  </si>
  <si>
    <t>T047</t>
  </si>
  <si>
    <t>B1047</t>
  </si>
  <si>
    <t>T048</t>
  </si>
  <si>
    <t>B1048</t>
  </si>
  <si>
    <t>Row Labels</t>
  </si>
  <si>
    <t>Grand Total</t>
  </si>
  <si>
    <t xml:space="preserve">Count of Status </t>
  </si>
  <si>
    <t>(All)</t>
  </si>
  <si>
    <t>Average of Result</t>
  </si>
  <si>
    <t>Pharmaceutic QC Trend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</si>
</sst>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 QC Trend Analysis and OOS Investigation Dashboard.xlsx]Failures by Instrument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QC Results by Product  </a:t>
            </a:r>
          </a:p>
        </c:rich>
      </c:tx>
      <c:layout>
        <c:manualLayout>
          <c:xMode val="edge"/>
          <c:yMode val="edge"/>
          <c:x val="0.2479241756222067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'Failures by Instrument '!$B$4</c:f>
              <c:strCache>
                <c:ptCount val="1"/>
                <c:pt idx="0">
                  <c:v>Total</c:v>
                </c:pt>
              </c:strCache>
            </c:strRef>
          </c:tx>
          <c:spPr>
            <a:solidFill>
              <a:schemeClr val="accent1"/>
            </a:solidFill>
            <a:ln>
              <a:noFill/>
            </a:ln>
            <a:effectLst/>
          </c:spPr>
          <c:invertIfNegative val="0"/>
          <c:cat>
            <c:strRef>
              <c:f>'Failures by Instrument '!$A$5:$A$8</c:f>
              <c:strCache>
                <c:ptCount val="3"/>
                <c:pt idx="0">
                  <c:v>Vaccine A</c:v>
                </c:pt>
                <c:pt idx="1">
                  <c:v>Vaccine B</c:v>
                </c:pt>
                <c:pt idx="2">
                  <c:v>Vaccine C</c:v>
                </c:pt>
              </c:strCache>
            </c:strRef>
          </c:cat>
          <c:val>
            <c:numRef>
              <c:f>'Failures by Instrument '!$B$5:$B$8</c:f>
              <c:numCache>
                <c:formatCode>General</c:formatCode>
                <c:ptCount val="3"/>
                <c:pt idx="0">
                  <c:v>97.850000000000009</c:v>
                </c:pt>
                <c:pt idx="1">
                  <c:v>90.5</c:v>
                </c:pt>
                <c:pt idx="2">
                  <c:v>90.5</c:v>
                </c:pt>
              </c:numCache>
            </c:numRef>
          </c:val>
          <c:extLst>
            <c:ext xmlns:c16="http://schemas.microsoft.com/office/drawing/2014/chart" uri="{C3380CC4-5D6E-409C-BE32-E72D297353CC}">
              <c16:uniqueId val="{00000000-111C-AD4E-BB50-9B7A237CA55B}"/>
            </c:ext>
          </c:extLst>
        </c:ser>
        <c:dLbls>
          <c:showLegendKey val="0"/>
          <c:showVal val="0"/>
          <c:showCatName val="0"/>
          <c:showSerName val="0"/>
          <c:showPercent val="0"/>
          <c:showBubbleSize val="0"/>
        </c:dLbls>
        <c:gapWidth val="219"/>
        <c:overlap val="-27"/>
        <c:axId val="2125054847"/>
        <c:axId val="2125068287"/>
      </c:barChart>
      <c:catAx>
        <c:axId val="21250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68287"/>
        <c:crosses val="autoZero"/>
        <c:auto val="1"/>
        <c:lblAlgn val="ctr"/>
        <c:lblOffset val="100"/>
        <c:noMultiLvlLbl val="0"/>
      </c:catAx>
      <c:valAx>
        <c:axId val="21250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87163</xdr:colOff>
      <xdr:row>1</xdr:row>
      <xdr:rowOff>5427</xdr:rowOff>
    </xdr:from>
    <xdr:to>
      <xdr:col>4</xdr:col>
      <xdr:colOff>206239</xdr:colOff>
      <xdr:row>7</xdr:row>
      <xdr:rowOff>32564</xdr:rowOff>
    </xdr:to>
    <mc:AlternateContent xmlns:mc="http://schemas.openxmlformats.org/markup-compatibility/2006">
      <mc:Choice xmlns:a14="http://schemas.microsoft.com/office/drawing/2010/main" Requires="a14">
        <xdr:graphicFrame macro="">
          <xdr:nvGraphicFramePr>
            <xdr:cNvPr id="2" name="Product ">
              <a:extLst>
                <a:ext uri="{FF2B5EF4-FFF2-40B4-BE49-F238E27FC236}">
                  <a16:creationId xmlns:a16="http://schemas.microsoft.com/office/drawing/2014/main" id="{F538FCB9-E6AE-06D2-4E52-2F391FF4CEA1}"/>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dr:sp macro="" textlink="">
          <xdr:nvSpPr>
            <xdr:cNvPr id="0" name=""/>
            <xdr:cNvSpPr>
              <a:spLocks noTextEdit="1"/>
            </xdr:cNvSpPr>
          </xdr:nvSpPr>
          <xdr:spPr>
            <a:xfrm>
              <a:off x="2282449" y="286641"/>
              <a:ext cx="1770076" cy="1224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233268</xdr:colOff>
      <xdr:row>1</xdr:row>
      <xdr:rowOff>67408</xdr:rowOff>
    </xdr:from>
    <xdr:to>
      <xdr:col>6</xdr:col>
      <xdr:colOff>455896</xdr:colOff>
      <xdr:row>9</xdr:row>
      <xdr:rowOff>5427</xdr:rowOff>
    </xdr:to>
    <mc:AlternateContent xmlns:mc="http://schemas.openxmlformats.org/markup-compatibility/2006">
      <mc:Choice xmlns:a14="http://schemas.microsoft.com/office/drawing/2010/main" Requires="a14">
        <xdr:graphicFrame macro="">
          <xdr:nvGraphicFramePr>
            <xdr:cNvPr id="3" name="Analyst ">
              <a:extLst>
                <a:ext uri="{FF2B5EF4-FFF2-40B4-BE49-F238E27FC236}">
                  <a16:creationId xmlns:a16="http://schemas.microsoft.com/office/drawing/2014/main" id="{F7DB7C80-8C6D-AD70-133F-0E54EFA2BAD8}"/>
                </a:ext>
              </a:extLst>
            </xdr:cNvPr>
            <xdr:cNvGraphicFramePr/>
          </xdr:nvGraphicFramePr>
          <xdr:xfrm>
            <a:off x="0" y="0"/>
            <a:ext cx="0" cy="0"/>
          </xdr:xfrm>
          <a:graphic>
            <a:graphicData uri="http://schemas.microsoft.com/office/drawing/2010/slicer">
              <sle:slicer xmlns:sle="http://schemas.microsoft.com/office/drawing/2010/slicer" name="Analyst "/>
            </a:graphicData>
          </a:graphic>
        </xdr:graphicFrame>
      </mc:Choice>
      <mc:Fallback>
        <xdr:sp macro="" textlink="">
          <xdr:nvSpPr>
            <xdr:cNvPr id="0" name=""/>
            <xdr:cNvSpPr>
              <a:spLocks noTextEdit="1"/>
            </xdr:cNvSpPr>
          </xdr:nvSpPr>
          <xdr:spPr>
            <a:xfrm>
              <a:off x="4079554" y="348622"/>
              <a:ext cx="1873628" cy="1534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151964</xdr:colOff>
      <xdr:row>8</xdr:row>
      <xdr:rowOff>43418</xdr:rowOff>
    </xdr:from>
    <xdr:to>
      <xdr:col>4</xdr:col>
      <xdr:colOff>135684</xdr:colOff>
      <xdr:row>18</xdr:row>
      <xdr:rowOff>37992</xdr:rowOff>
    </xdr:to>
    <xdr:graphicFrame macro="">
      <xdr:nvGraphicFramePr>
        <xdr:cNvPr id="4" name="Chart 3">
          <a:extLst>
            <a:ext uri="{FF2B5EF4-FFF2-40B4-BE49-F238E27FC236}">
              <a16:creationId xmlns:a16="http://schemas.microsoft.com/office/drawing/2014/main" id="{AA4A8D20-A17D-386B-5A35-C7DCD0BFF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biat Tirfe" refreshedDate="46147.920808796298" createdVersion="8" refreshedVersion="8" minRefreshableVersion="3" recordCount="48" xr:uid="{274B84EF-ECC2-DF4C-9B2D-AA2A9B63707F}">
  <cacheSource type="worksheet">
    <worksheetSource name="Table2"/>
  </cacheSource>
  <cacheFields count="8">
    <cacheField name="Test_Id " numFmtId="0">
      <sharedItems/>
    </cacheField>
    <cacheField name="Date" numFmtId="14">
      <sharedItems containsSemiMixedTypes="0" containsNonDate="0" containsDate="1" containsString="0" minDate="2026-05-01T00:00:00" maxDate="2026-05-25T00:00:00"/>
    </cacheField>
    <cacheField name="Product " numFmtId="0">
      <sharedItems count="3">
        <s v="Vaccine A"/>
        <s v="Vaccine B"/>
        <s v="Vaccine C"/>
      </sharedItems>
    </cacheField>
    <cacheField name="Analyst " numFmtId="0">
      <sharedItems count="4">
        <s v="John"/>
        <s v="Sarah"/>
        <s v="Mike"/>
        <s v="Lisa"/>
      </sharedItems>
    </cacheField>
    <cacheField name="Instrument " numFmtId="0">
      <sharedItems/>
    </cacheField>
    <cacheField name="Result" numFmtId="0">
      <sharedItems containsSemiMixedTypes="0" containsString="0" containsNumber="1" minValue="85.4" maxValue="98.5"/>
    </cacheField>
    <cacheField name="Status " numFmtId="0">
      <sharedItems count="2">
        <s v="Pass"/>
        <s v="Fail"/>
      </sharedItems>
    </cacheField>
    <cacheField name="Batch" numFmtId="0">
      <sharedItems/>
    </cacheField>
  </cacheFields>
  <extLst>
    <ext xmlns:x14="http://schemas.microsoft.com/office/spreadsheetml/2009/9/main" uri="{725AE2AE-9491-48be-B2B4-4EB974FC3084}">
      <x14:pivotCacheDefinition pivotCacheId="1746838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T001"/>
    <d v="2026-05-01T00:00:00"/>
    <x v="0"/>
    <x v="0"/>
    <s v="HPLC-1"/>
    <n v="98.5"/>
    <x v="0"/>
    <s v="B1001"/>
  </r>
  <r>
    <s v="T002"/>
    <d v="2026-05-01T00:00:00"/>
    <x v="1"/>
    <x v="1"/>
    <s v="HPLC-2"/>
    <n v="92.1"/>
    <x v="0"/>
    <s v="B1002"/>
  </r>
  <r>
    <s v="T003"/>
    <d v="2026-05-02T00:00:00"/>
    <x v="2"/>
    <x v="2"/>
    <s v="GC-1"/>
    <n v="85.4"/>
    <x v="1"/>
    <s v="B1003"/>
  </r>
  <r>
    <s v="T004"/>
    <d v="2026-05-02T00:00:00"/>
    <x v="0"/>
    <x v="3"/>
    <s v="UV-Vis-1"/>
    <n v="97.2"/>
    <x v="0"/>
    <s v="B1004"/>
  </r>
  <r>
    <s v="T005"/>
    <d v="2026-05-03T00:00:00"/>
    <x v="1"/>
    <x v="0"/>
    <s v="HPLC-1"/>
    <n v="88.9"/>
    <x v="1"/>
    <s v="B1005"/>
  </r>
  <r>
    <s v="T006"/>
    <d v="2026-05-03T00:00:00"/>
    <x v="2"/>
    <x v="1"/>
    <s v="GC-1"/>
    <n v="95.6"/>
    <x v="0"/>
    <s v="B1006"/>
  </r>
  <r>
    <s v="T007"/>
    <d v="2026-05-04T00:00:00"/>
    <x v="0"/>
    <x v="0"/>
    <s v="HPLC-1"/>
    <n v="98.5"/>
    <x v="0"/>
    <s v="B1007"/>
  </r>
  <r>
    <s v="T008"/>
    <d v="2026-05-04T00:00:00"/>
    <x v="1"/>
    <x v="1"/>
    <s v="HPLC-2"/>
    <n v="92.1"/>
    <x v="0"/>
    <s v="B1008"/>
  </r>
  <r>
    <s v="T009"/>
    <d v="2026-05-05T00:00:00"/>
    <x v="2"/>
    <x v="2"/>
    <s v="GC-1"/>
    <n v="85.4"/>
    <x v="1"/>
    <s v="B1009"/>
  </r>
  <r>
    <s v="T010"/>
    <d v="2026-05-05T00:00:00"/>
    <x v="0"/>
    <x v="3"/>
    <s v="UV-Vis-1"/>
    <n v="97.2"/>
    <x v="0"/>
    <s v="B1010"/>
  </r>
  <r>
    <s v="T011"/>
    <d v="2026-05-06T00:00:00"/>
    <x v="1"/>
    <x v="0"/>
    <s v="HPLC-1"/>
    <n v="88.9"/>
    <x v="1"/>
    <s v="B1011"/>
  </r>
  <r>
    <s v="T012"/>
    <d v="2026-05-06T00:00:00"/>
    <x v="2"/>
    <x v="1"/>
    <s v="GC-1"/>
    <n v="95.6"/>
    <x v="0"/>
    <s v="B1012"/>
  </r>
  <r>
    <s v="T013"/>
    <d v="2026-05-07T00:00:00"/>
    <x v="0"/>
    <x v="0"/>
    <s v="HPLC-1"/>
    <n v="98.5"/>
    <x v="0"/>
    <s v="B1013"/>
  </r>
  <r>
    <s v="T014"/>
    <d v="2026-05-07T00:00:00"/>
    <x v="1"/>
    <x v="1"/>
    <s v="HPLC-2"/>
    <n v="92.1"/>
    <x v="0"/>
    <s v="B1014"/>
  </r>
  <r>
    <s v="T015"/>
    <d v="2026-05-08T00:00:00"/>
    <x v="2"/>
    <x v="2"/>
    <s v="GC-1"/>
    <n v="85.4"/>
    <x v="1"/>
    <s v="B1015"/>
  </r>
  <r>
    <s v="T016"/>
    <d v="2026-05-08T00:00:00"/>
    <x v="0"/>
    <x v="3"/>
    <s v="UV-Vis-1"/>
    <n v="97.2"/>
    <x v="0"/>
    <s v="B1016"/>
  </r>
  <r>
    <s v="T017"/>
    <d v="2026-05-09T00:00:00"/>
    <x v="1"/>
    <x v="0"/>
    <s v="HPLC-1"/>
    <n v="88.9"/>
    <x v="1"/>
    <s v="B1017"/>
  </r>
  <r>
    <s v="T018"/>
    <d v="2026-05-09T00:00:00"/>
    <x v="2"/>
    <x v="1"/>
    <s v="GC-1"/>
    <n v="95.6"/>
    <x v="0"/>
    <s v="B1018"/>
  </r>
  <r>
    <s v="T019"/>
    <d v="2026-05-10T00:00:00"/>
    <x v="0"/>
    <x v="0"/>
    <s v="HPLC-1"/>
    <n v="98.5"/>
    <x v="0"/>
    <s v="B1019"/>
  </r>
  <r>
    <s v="T020"/>
    <d v="2026-05-10T00:00:00"/>
    <x v="1"/>
    <x v="1"/>
    <s v="HPLC-2"/>
    <n v="92.1"/>
    <x v="0"/>
    <s v="B1020"/>
  </r>
  <r>
    <s v="T021"/>
    <d v="2026-05-11T00:00:00"/>
    <x v="2"/>
    <x v="2"/>
    <s v="GC-1"/>
    <n v="85.4"/>
    <x v="1"/>
    <s v="B1021"/>
  </r>
  <r>
    <s v="T022"/>
    <d v="2026-05-11T00:00:00"/>
    <x v="0"/>
    <x v="3"/>
    <s v="UV-Vis-1"/>
    <n v="97.2"/>
    <x v="0"/>
    <s v="B1022"/>
  </r>
  <r>
    <s v="T023"/>
    <d v="2026-05-12T00:00:00"/>
    <x v="1"/>
    <x v="0"/>
    <s v="HPLC-1"/>
    <n v="88.9"/>
    <x v="1"/>
    <s v="B1023"/>
  </r>
  <r>
    <s v="T024"/>
    <d v="2026-05-12T00:00:00"/>
    <x v="2"/>
    <x v="1"/>
    <s v="GC-1"/>
    <n v="95.6"/>
    <x v="0"/>
    <s v="B1024"/>
  </r>
  <r>
    <s v="T025"/>
    <d v="2026-05-13T00:00:00"/>
    <x v="0"/>
    <x v="0"/>
    <s v="HPLC-1"/>
    <n v="98.5"/>
    <x v="0"/>
    <s v="B1025"/>
  </r>
  <r>
    <s v="T026"/>
    <d v="2026-05-13T00:00:00"/>
    <x v="1"/>
    <x v="1"/>
    <s v="HPLC-2"/>
    <n v="92.1"/>
    <x v="0"/>
    <s v="B1026"/>
  </r>
  <r>
    <s v="T027"/>
    <d v="2026-05-14T00:00:00"/>
    <x v="2"/>
    <x v="2"/>
    <s v="GC-1"/>
    <n v="85.4"/>
    <x v="1"/>
    <s v="B1027"/>
  </r>
  <r>
    <s v="T028"/>
    <d v="2026-05-14T00:00:00"/>
    <x v="0"/>
    <x v="3"/>
    <s v="UV-Vis-1"/>
    <n v="97.2"/>
    <x v="0"/>
    <s v="B1028"/>
  </r>
  <r>
    <s v="T029"/>
    <d v="2026-05-15T00:00:00"/>
    <x v="1"/>
    <x v="0"/>
    <s v="HPLC-1"/>
    <n v="88.9"/>
    <x v="1"/>
    <s v="B1029"/>
  </r>
  <r>
    <s v="T030"/>
    <d v="2026-05-15T00:00:00"/>
    <x v="2"/>
    <x v="1"/>
    <s v="GC-1"/>
    <n v="95.6"/>
    <x v="0"/>
    <s v="B1030"/>
  </r>
  <r>
    <s v="T031"/>
    <d v="2026-05-16T00:00:00"/>
    <x v="0"/>
    <x v="0"/>
    <s v="HPLC-1"/>
    <n v="98.5"/>
    <x v="0"/>
    <s v="B1031"/>
  </r>
  <r>
    <s v="T032"/>
    <d v="2026-05-16T00:00:00"/>
    <x v="1"/>
    <x v="1"/>
    <s v="HPLC-2"/>
    <n v="92.1"/>
    <x v="0"/>
    <s v="B1032"/>
  </r>
  <r>
    <s v="T033"/>
    <d v="2026-05-17T00:00:00"/>
    <x v="2"/>
    <x v="2"/>
    <s v="GC-1"/>
    <n v="85.4"/>
    <x v="1"/>
    <s v="B1033"/>
  </r>
  <r>
    <s v="T034"/>
    <d v="2026-05-17T00:00:00"/>
    <x v="0"/>
    <x v="3"/>
    <s v="UV-Vis-1"/>
    <n v="97.2"/>
    <x v="0"/>
    <s v="B1034"/>
  </r>
  <r>
    <s v="T035"/>
    <d v="2026-05-18T00:00:00"/>
    <x v="1"/>
    <x v="0"/>
    <s v="HPLC-1"/>
    <n v="88.9"/>
    <x v="1"/>
    <s v="B1035"/>
  </r>
  <r>
    <s v="T036"/>
    <d v="2026-05-18T00:00:00"/>
    <x v="2"/>
    <x v="1"/>
    <s v="GC-1"/>
    <n v="95.6"/>
    <x v="0"/>
    <s v="B1036"/>
  </r>
  <r>
    <s v="T037"/>
    <d v="2026-05-19T00:00:00"/>
    <x v="0"/>
    <x v="0"/>
    <s v="HPLC-1"/>
    <n v="98.5"/>
    <x v="0"/>
    <s v="B1037"/>
  </r>
  <r>
    <s v="T038"/>
    <d v="2026-05-19T00:00:00"/>
    <x v="1"/>
    <x v="1"/>
    <s v="HPLC-2"/>
    <n v="92.1"/>
    <x v="0"/>
    <s v="B1038"/>
  </r>
  <r>
    <s v="T039"/>
    <d v="2026-05-20T00:00:00"/>
    <x v="2"/>
    <x v="2"/>
    <s v="GC-1"/>
    <n v="85.4"/>
    <x v="1"/>
    <s v="B1039"/>
  </r>
  <r>
    <s v="T040"/>
    <d v="2026-05-20T00:00:00"/>
    <x v="0"/>
    <x v="3"/>
    <s v="UV-Vis-1"/>
    <n v="97.2"/>
    <x v="0"/>
    <s v="B1040"/>
  </r>
  <r>
    <s v="T041"/>
    <d v="2026-05-21T00:00:00"/>
    <x v="1"/>
    <x v="0"/>
    <s v="HPLC-1"/>
    <n v="88.9"/>
    <x v="1"/>
    <s v="B1041"/>
  </r>
  <r>
    <s v="T042"/>
    <d v="2026-05-21T00:00:00"/>
    <x v="2"/>
    <x v="1"/>
    <s v="GC-1"/>
    <n v="95.6"/>
    <x v="0"/>
    <s v="B1042"/>
  </r>
  <r>
    <s v="T043"/>
    <d v="2026-05-22T00:00:00"/>
    <x v="0"/>
    <x v="0"/>
    <s v="HPLC-1"/>
    <n v="98.5"/>
    <x v="0"/>
    <s v="B1043"/>
  </r>
  <r>
    <s v="T044"/>
    <d v="2026-05-22T00:00:00"/>
    <x v="1"/>
    <x v="1"/>
    <s v="HPLC-2"/>
    <n v="92.1"/>
    <x v="0"/>
    <s v="B1044"/>
  </r>
  <r>
    <s v="T045"/>
    <d v="2026-05-23T00:00:00"/>
    <x v="2"/>
    <x v="2"/>
    <s v="GC-1"/>
    <n v="85.4"/>
    <x v="1"/>
    <s v="B1045"/>
  </r>
  <r>
    <s v="T046"/>
    <d v="2026-05-23T00:00:00"/>
    <x v="0"/>
    <x v="3"/>
    <s v="UV-Vis-1"/>
    <n v="97.2"/>
    <x v="0"/>
    <s v="B1046"/>
  </r>
  <r>
    <s v="T047"/>
    <d v="2026-05-24T00:00:00"/>
    <x v="1"/>
    <x v="0"/>
    <s v="HPLC-1"/>
    <n v="88.9"/>
    <x v="1"/>
    <s v="B1047"/>
  </r>
  <r>
    <s v="T048"/>
    <d v="2026-05-24T00:00:00"/>
    <x v="2"/>
    <x v="1"/>
    <s v="GC-1"/>
    <n v="95.6"/>
    <x v="0"/>
    <s v="B1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51C38-9F15-834A-B2DF-B51FF79ECE3B}"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8">
    <pivotField showAll="0"/>
    <pivotField numFmtId="14" showAll="0"/>
    <pivotField showAll="0"/>
    <pivotField showAll="0"/>
    <pivotField showAll="0"/>
    <pivotField showAll="0"/>
    <pivotField axis="axisRow" dataField="1" showAll="0">
      <items count="3">
        <item x="1"/>
        <item x="0"/>
        <item t="default"/>
      </items>
    </pivotField>
    <pivotField showAll="0"/>
  </pivotFields>
  <rowFields count="1">
    <field x="6"/>
  </rowFields>
  <rowItems count="3">
    <i>
      <x/>
    </i>
    <i>
      <x v="1"/>
    </i>
    <i t="grand">
      <x/>
    </i>
  </rowItems>
  <colItems count="1">
    <i/>
  </colItems>
  <dataFields count="1">
    <dataField name="Count of Status "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2E305-7C04-1449-8FED-545AE5ED3C80}"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8" firstHeaderRow="1" firstDataRow="1" firstDataCol="1" rowPageCount="1" colPageCount="1"/>
  <pivotFields count="8">
    <pivotField showAll="0"/>
    <pivotField numFmtId="14" showAll="0"/>
    <pivotField axis="axisRow" showAll="0">
      <items count="4">
        <item x="0"/>
        <item x="1"/>
        <item x="2"/>
        <item t="default"/>
      </items>
    </pivotField>
    <pivotField showAll="0">
      <items count="5">
        <item x="0"/>
        <item x="3"/>
        <item x="2"/>
        <item x="1"/>
        <item t="default"/>
      </items>
    </pivotField>
    <pivotField showAll="0"/>
    <pivotField dataField="1" showAll="0"/>
    <pivotField axis="axisPage" showAll="0">
      <items count="3">
        <item x="1"/>
        <item x="0"/>
        <item t="default"/>
      </items>
    </pivotField>
    <pivotField showAll="0"/>
  </pivotFields>
  <rowFields count="1">
    <field x="2"/>
  </rowFields>
  <rowItems count="4">
    <i>
      <x/>
    </i>
    <i>
      <x v="1"/>
    </i>
    <i>
      <x v="2"/>
    </i>
    <i t="grand">
      <x/>
    </i>
  </rowItems>
  <colItems count="1">
    <i/>
  </colItems>
  <pageFields count="1">
    <pageField fld="6" hier="-1"/>
  </pageFields>
  <dataFields count="1">
    <dataField name="Average of Result" fld="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9DD463-BD40-0D4D-8A77-A9909402B602}" sourceName="Product ">
  <pivotTables>
    <pivotTable tabId="3" name="PivotTable5"/>
  </pivotTables>
  <data>
    <tabular pivotCacheId="174683890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alyst" xr10:uid="{50D551F9-94EB-944F-B49E-2708C728543B}" sourceName="Analyst ">
  <pivotTables>
    <pivotTable tabId="3" name="PivotTable5"/>
  </pivotTables>
  <data>
    <tabular pivotCacheId="174683890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 xr10:uid="{8028F60C-0E9C-F047-911D-8F7142447024}" cache="Slicer_Product" caption="Product " rowHeight="251883"/>
  <slicer name="Analyst " xr10:uid="{09E591BB-402F-9A46-ABC0-192946CA6CD7}" cache="Slicer_Analyst" caption="Analyst " rowHeight="251883"/>
  <slicer name="Analyst  1" xr10:uid="{CFD8D316-DF76-7446-A87B-51E4F435AE10}" cache="Slicer_Analyst" caption="Analyst "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AD2F54-B5D3-5F4F-B388-237D1C667A12}" name="Table2" displayName="Table2" ref="A2:H50" totalsRowShown="0">
  <autoFilter ref="A2:H50" xr:uid="{70AD2F54-B5D3-5F4F-B388-237D1C667A12}"/>
  <tableColumns count="8">
    <tableColumn id="1" xr3:uid="{15D7C203-467D-F640-BF5F-DD8E42BCBD3B}" name="Test_Id "/>
    <tableColumn id="2" xr3:uid="{3DEF890D-2929-914E-92A6-0420CD3B1635}" name="Date" dataDxfId="0"/>
    <tableColumn id="3" xr3:uid="{44C43387-A489-844B-BDB5-7004652F874F}" name="Product "/>
    <tableColumn id="4" xr3:uid="{CA620CE1-1902-DB41-94BD-998524468CE9}" name="Analyst "/>
    <tableColumn id="5" xr3:uid="{1D4793FC-02EC-4641-ADCD-D920C0BEB8D4}" name="Instrument "/>
    <tableColumn id="6" xr3:uid="{A68C32EB-E190-FF4A-971B-1B29C3681819}" name="Result"/>
    <tableColumn id="7" xr3:uid="{23081050-E22F-6146-86A5-06A64F18381F}" name="Status "/>
    <tableColumn id="8" xr3:uid="{3F554144-3BBC-1941-B173-E6D176F11D13}" name="Batch"/>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D6BD-50E3-B045-B71F-855B2C951649}">
  <dimension ref="A3:B6"/>
  <sheetViews>
    <sheetView workbookViewId="0">
      <selection activeCell="A5" sqref="A5"/>
    </sheetView>
  </sheetViews>
  <sheetFormatPr baseColWidth="10" defaultRowHeight="16" x14ac:dyDescent="0.2"/>
  <cols>
    <col min="1" max="1" width="13" bestFit="1" customWidth="1"/>
    <col min="2" max="2" width="14.1640625" bestFit="1" customWidth="1"/>
  </cols>
  <sheetData>
    <row r="3" spans="1:2" x14ac:dyDescent="0.2">
      <c r="A3" s="2" t="s">
        <v>118</v>
      </c>
      <c r="B3" t="s">
        <v>120</v>
      </c>
    </row>
    <row r="4" spans="1:2" x14ac:dyDescent="0.2">
      <c r="A4" s="3" t="s">
        <v>24</v>
      </c>
      <c r="B4" s="4">
        <v>16</v>
      </c>
    </row>
    <row r="5" spans="1:2" x14ac:dyDescent="0.2">
      <c r="A5" s="3" t="s">
        <v>13</v>
      </c>
      <c r="B5" s="4">
        <v>32</v>
      </c>
    </row>
    <row r="6" spans="1:2" x14ac:dyDescent="0.2">
      <c r="A6" s="3" t="s">
        <v>119</v>
      </c>
      <c r="B6" s="4">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96A8-3CD7-C643-925F-FE586B1EF91F}">
  <dimension ref="A1:B8"/>
  <sheetViews>
    <sheetView tabSelected="1" zoomScale="140" zoomScaleNormal="140" workbookViewId="0">
      <selection activeCell="B2" sqref="B2"/>
    </sheetView>
  </sheetViews>
  <sheetFormatPr baseColWidth="10" defaultRowHeight="16" x14ac:dyDescent="0.2"/>
  <cols>
    <col min="1" max="1" width="13" bestFit="1" customWidth="1"/>
    <col min="2" max="2" width="15.83203125" bestFit="1" customWidth="1"/>
  </cols>
  <sheetData>
    <row r="1" spans="1:2" s="5" customFormat="1" ht="22" x14ac:dyDescent="0.3">
      <c r="A1" s="5" t="s">
        <v>123</v>
      </c>
    </row>
    <row r="2" spans="1:2" x14ac:dyDescent="0.2">
      <c r="A2" s="2" t="s">
        <v>7</v>
      </c>
      <c r="B2" t="s">
        <v>121</v>
      </c>
    </row>
    <row r="4" spans="1:2" x14ac:dyDescent="0.2">
      <c r="A4" s="2" t="s">
        <v>118</v>
      </c>
      <c r="B4" t="s">
        <v>122</v>
      </c>
    </row>
    <row r="5" spans="1:2" x14ac:dyDescent="0.2">
      <c r="A5" s="3" t="s">
        <v>10</v>
      </c>
      <c r="B5" s="4">
        <v>97.850000000000009</v>
      </c>
    </row>
    <row r="6" spans="1:2" x14ac:dyDescent="0.2">
      <c r="A6" s="3" t="s">
        <v>16</v>
      </c>
      <c r="B6" s="4">
        <v>90.5</v>
      </c>
    </row>
    <row r="7" spans="1:2" x14ac:dyDescent="0.2">
      <c r="A7" s="3" t="s">
        <v>21</v>
      </c>
      <c r="B7" s="4">
        <v>90.5</v>
      </c>
    </row>
    <row r="8" spans="1:2" x14ac:dyDescent="0.2">
      <c r="A8" s="3" t="s">
        <v>119</v>
      </c>
      <c r="B8" s="4">
        <v>92.95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7A74-91F2-C643-87D0-11BA49B75A19}">
  <dimension ref="A1:H50"/>
  <sheetViews>
    <sheetView topLeftCell="A3" zoomScale="140" zoomScaleNormal="140" workbookViewId="0">
      <selection activeCell="C37" sqref="A2:H50"/>
    </sheetView>
  </sheetViews>
  <sheetFormatPr baseColWidth="10" defaultRowHeight="16" x14ac:dyDescent="0.2"/>
  <cols>
    <col min="5" max="5" width="11.83203125" customWidth="1"/>
  </cols>
  <sheetData>
    <row r="1" spans="1:8" x14ac:dyDescent="0.2">
      <c r="A1" t="s">
        <v>0</v>
      </c>
    </row>
    <row r="2" spans="1:8" x14ac:dyDescent="0.2">
      <c r="A2" t="s">
        <v>1</v>
      </c>
      <c r="B2" t="s">
        <v>2</v>
      </c>
      <c r="C2" t="s">
        <v>3</v>
      </c>
      <c r="D2" t="s">
        <v>4</v>
      </c>
      <c r="E2" t="s">
        <v>5</v>
      </c>
      <c r="F2" t="s">
        <v>6</v>
      </c>
      <c r="G2" t="s">
        <v>7</v>
      </c>
      <c r="H2" t="s">
        <v>8</v>
      </c>
    </row>
    <row r="3" spans="1:8" x14ac:dyDescent="0.2">
      <c r="A3" t="s">
        <v>9</v>
      </c>
      <c r="B3" s="1">
        <v>46143</v>
      </c>
      <c r="C3" t="s">
        <v>10</v>
      </c>
      <c r="D3" t="s">
        <v>11</v>
      </c>
      <c r="E3" t="s">
        <v>12</v>
      </c>
      <c r="F3">
        <v>98.5</v>
      </c>
      <c r="G3" t="s">
        <v>13</v>
      </c>
      <c r="H3" t="s">
        <v>14</v>
      </c>
    </row>
    <row r="4" spans="1:8" x14ac:dyDescent="0.2">
      <c r="A4" t="s">
        <v>15</v>
      </c>
      <c r="B4" s="1">
        <v>46143</v>
      </c>
      <c r="C4" t="s">
        <v>16</v>
      </c>
      <c r="D4" t="s">
        <v>17</v>
      </c>
      <c r="E4" t="s">
        <v>18</v>
      </c>
      <c r="F4">
        <v>92.1</v>
      </c>
      <c r="G4" t="s">
        <v>13</v>
      </c>
      <c r="H4" t="s">
        <v>19</v>
      </c>
    </row>
    <row r="5" spans="1:8" x14ac:dyDescent="0.2">
      <c r="A5" t="s">
        <v>20</v>
      </c>
      <c r="B5" s="1">
        <v>46144</v>
      </c>
      <c r="C5" t="s">
        <v>21</v>
      </c>
      <c r="D5" t="s">
        <v>22</v>
      </c>
      <c r="E5" t="s">
        <v>23</v>
      </c>
      <c r="F5">
        <v>85.4</v>
      </c>
      <c r="G5" t="s">
        <v>24</v>
      </c>
      <c r="H5" t="s">
        <v>25</v>
      </c>
    </row>
    <row r="6" spans="1:8" x14ac:dyDescent="0.2">
      <c r="A6" t="s">
        <v>26</v>
      </c>
      <c r="B6" s="1">
        <v>46144</v>
      </c>
      <c r="C6" t="s">
        <v>10</v>
      </c>
      <c r="D6" t="s">
        <v>27</v>
      </c>
      <c r="E6" t="s">
        <v>28</v>
      </c>
      <c r="F6">
        <v>97.2</v>
      </c>
      <c r="G6" t="s">
        <v>13</v>
      </c>
      <c r="H6" t="s">
        <v>29</v>
      </c>
    </row>
    <row r="7" spans="1:8" x14ac:dyDescent="0.2">
      <c r="A7" t="s">
        <v>30</v>
      </c>
      <c r="B7" s="1">
        <v>46145</v>
      </c>
      <c r="C7" t="s">
        <v>16</v>
      </c>
      <c r="D7" t="s">
        <v>11</v>
      </c>
      <c r="E7" t="s">
        <v>12</v>
      </c>
      <c r="F7">
        <v>88.9</v>
      </c>
      <c r="G7" t="s">
        <v>24</v>
      </c>
      <c r="H7" t="s">
        <v>31</v>
      </c>
    </row>
    <row r="8" spans="1:8" x14ac:dyDescent="0.2">
      <c r="A8" t="s">
        <v>32</v>
      </c>
      <c r="B8" s="1">
        <v>46145</v>
      </c>
      <c r="C8" t="s">
        <v>21</v>
      </c>
      <c r="D8" t="s">
        <v>17</v>
      </c>
      <c r="E8" t="s">
        <v>23</v>
      </c>
      <c r="F8">
        <v>95.6</v>
      </c>
      <c r="G8" t="s">
        <v>13</v>
      </c>
      <c r="H8" t="s">
        <v>33</v>
      </c>
    </row>
    <row r="9" spans="1:8" x14ac:dyDescent="0.2">
      <c r="A9" t="s">
        <v>34</v>
      </c>
      <c r="B9" s="1">
        <v>46146</v>
      </c>
      <c r="C9" t="s">
        <v>10</v>
      </c>
      <c r="D9" t="s">
        <v>11</v>
      </c>
      <c r="E9" t="s">
        <v>12</v>
      </c>
      <c r="F9">
        <v>98.5</v>
      </c>
      <c r="G9" t="s">
        <v>13</v>
      </c>
      <c r="H9" t="s">
        <v>35</v>
      </c>
    </row>
    <row r="10" spans="1:8" x14ac:dyDescent="0.2">
      <c r="A10" t="s">
        <v>36</v>
      </c>
      <c r="B10" s="1">
        <v>46146</v>
      </c>
      <c r="C10" t="s">
        <v>16</v>
      </c>
      <c r="D10" t="s">
        <v>17</v>
      </c>
      <c r="E10" t="s">
        <v>18</v>
      </c>
      <c r="F10">
        <v>92.1</v>
      </c>
      <c r="G10" t="s">
        <v>13</v>
      </c>
      <c r="H10" t="s">
        <v>37</v>
      </c>
    </row>
    <row r="11" spans="1:8" x14ac:dyDescent="0.2">
      <c r="A11" t="s">
        <v>38</v>
      </c>
      <c r="B11" s="1">
        <v>46147</v>
      </c>
      <c r="C11" t="s">
        <v>21</v>
      </c>
      <c r="D11" t="s">
        <v>22</v>
      </c>
      <c r="E11" t="s">
        <v>23</v>
      </c>
      <c r="F11">
        <v>85.4</v>
      </c>
      <c r="G11" t="s">
        <v>24</v>
      </c>
      <c r="H11" t="s">
        <v>39</v>
      </c>
    </row>
    <row r="12" spans="1:8" x14ac:dyDescent="0.2">
      <c r="A12" t="s">
        <v>40</v>
      </c>
      <c r="B12" s="1">
        <v>46147</v>
      </c>
      <c r="C12" t="s">
        <v>10</v>
      </c>
      <c r="D12" t="s">
        <v>27</v>
      </c>
      <c r="E12" t="s">
        <v>28</v>
      </c>
      <c r="F12">
        <v>97.2</v>
      </c>
      <c r="G12" t="s">
        <v>13</v>
      </c>
      <c r="H12" t="s">
        <v>41</v>
      </c>
    </row>
    <row r="13" spans="1:8" x14ac:dyDescent="0.2">
      <c r="A13" t="s">
        <v>42</v>
      </c>
      <c r="B13" s="1">
        <v>46148</v>
      </c>
      <c r="C13" t="s">
        <v>16</v>
      </c>
      <c r="D13" t="s">
        <v>11</v>
      </c>
      <c r="E13" t="s">
        <v>12</v>
      </c>
      <c r="F13">
        <v>88.9</v>
      </c>
      <c r="G13" t="s">
        <v>24</v>
      </c>
      <c r="H13" t="s">
        <v>43</v>
      </c>
    </row>
    <row r="14" spans="1:8" x14ac:dyDescent="0.2">
      <c r="A14" t="s">
        <v>44</v>
      </c>
      <c r="B14" s="1">
        <v>46148</v>
      </c>
      <c r="C14" t="s">
        <v>21</v>
      </c>
      <c r="D14" t="s">
        <v>17</v>
      </c>
      <c r="E14" t="s">
        <v>23</v>
      </c>
      <c r="F14">
        <v>95.6</v>
      </c>
      <c r="G14" t="s">
        <v>13</v>
      </c>
      <c r="H14" t="s">
        <v>45</v>
      </c>
    </row>
    <row r="15" spans="1:8" x14ac:dyDescent="0.2">
      <c r="A15" t="s">
        <v>46</v>
      </c>
      <c r="B15" s="1">
        <v>46149</v>
      </c>
      <c r="C15" t="s">
        <v>10</v>
      </c>
      <c r="D15" t="s">
        <v>11</v>
      </c>
      <c r="E15" t="s">
        <v>12</v>
      </c>
      <c r="F15">
        <v>98.5</v>
      </c>
      <c r="G15" t="s">
        <v>13</v>
      </c>
      <c r="H15" t="s">
        <v>47</v>
      </c>
    </row>
    <row r="16" spans="1:8" x14ac:dyDescent="0.2">
      <c r="A16" t="s">
        <v>48</v>
      </c>
      <c r="B16" s="1">
        <v>46149</v>
      </c>
      <c r="C16" t="s">
        <v>16</v>
      </c>
      <c r="D16" t="s">
        <v>17</v>
      </c>
      <c r="E16" t="s">
        <v>18</v>
      </c>
      <c r="F16">
        <v>92.1</v>
      </c>
      <c r="G16" t="s">
        <v>13</v>
      </c>
      <c r="H16" t="s">
        <v>49</v>
      </c>
    </row>
    <row r="17" spans="1:8" x14ac:dyDescent="0.2">
      <c r="A17" t="s">
        <v>50</v>
      </c>
      <c r="B17" s="1">
        <v>46150</v>
      </c>
      <c r="C17" t="s">
        <v>21</v>
      </c>
      <c r="D17" t="s">
        <v>22</v>
      </c>
      <c r="E17" t="s">
        <v>23</v>
      </c>
      <c r="F17">
        <v>85.4</v>
      </c>
      <c r="G17" t="s">
        <v>24</v>
      </c>
      <c r="H17" t="s">
        <v>51</v>
      </c>
    </row>
    <row r="18" spans="1:8" x14ac:dyDescent="0.2">
      <c r="A18" t="s">
        <v>52</v>
      </c>
      <c r="B18" s="1">
        <v>46150</v>
      </c>
      <c r="C18" t="s">
        <v>10</v>
      </c>
      <c r="D18" t="s">
        <v>27</v>
      </c>
      <c r="E18" t="s">
        <v>28</v>
      </c>
      <c r="F18">
        <v>97.2</v>
      </c>
      <c r="G18" t="s">
        <v>13</v>
      </c>
      <c r="H18" t="s">
        <v>53</v>
      </c>
    </row>
    <row r="19" spans="1:8" x14ac:dyDescent="0.2">
      <c r="A19" t="s">
        <v>54</v>
      </c>
      <c r="B19" s="1">
        <v>46151</v>
      </c>
      <c r="C19" t="s">
        <v>16</v>
      </c>
      <c r="D19" t="s">
        <v>11</v>
      </c>
      <c r="E19" t="s">
        <v>12</v>
      </c>
      <c r="F19">
        <v>88.9</v>
      </c>
      <c r="G19" t="s">
        <v>24</v>
      </c>
      <c r="H19" t="s">
        <v>55</v>
      </c>
    </row>
    <row r="20" spans="1:8" x14ac:dyDescent="0.2">
      <c r="A20" t="s">
        <v>56</v>
      </c>
      <c r="B20" s="1">
        <v>46151</v>
      </c>
      <c r="C20" t="s">
        <v>21</v>
      </c>
      <c r="D20" t="s">
        <v>17</v>
      </c>
      <c r="E20" t="s">
        <v>23</v>
      </c>
      <c r="F20">
        <v>95.6</v>
      </c>
      <c r="G20" t="s">
        <v>13</v>
      </c>
      <c r="H20" t="s">
        <v>57</v>
      </c>
    </row>
    <row r="21" spans="1:8" x14ac:dyDescent="0.2">
      <c r="A21" t="s">
        <v>58</v>
      </c>
      <c r="B21" s="1">
        <v>46152</v>
      </c>
      <c r="C21" t="s">
        <v>10</v>
      </c>
      <c r="D21" t="s">
        <v>11</v>
      </c>
      <c r="E21" t="s">
        <v>12</v>
      </c>
      <c r="F21">
        <v>98.5</v>
      </c>
      <c r="G21" t="s">
        <v>13</v>
      </c>
      <c r="H21" t="s">
        <v>59</v>
      </c>
    </row>
    <row r="22" spans="1:8" x14ac:dyDescent="0.2">
      <c r="A22" t="s">
        <v>60</v>
      </c>
      <c r="B22" s="1">
        <v>46152</v>
      </c>
      <c r="C22" t="s">
        <v>16</v>
      </c>
      <c r="D22" t="s">
        <v>17</v>
      </c>
      <c r="E22" t="s">
        <v>18</v>
      </c>
      <c r="F22">
        <v>92.1</v>
      </c>
      <c r="G22" t="s">
        <v>13</v>
      </c>
      <c r="H22" t="s">
        <v>61</v>
      </c>
    </row>
    <row r="23" spans="1:8" x14ac:dyDescent="0.2">
      <c r="A23" t="s">
        <v>62</v>
      </c>
      <c r="B23" s="1">
        <v>46153</v>
      </c>
      <c r="C23" t="s">
        <v>21</v>
      </c>
      <c r="D23" t="s">
        <v>22</v>
      </c>
      <c r="E23" t="s">
        <v>23</v>
      </c>
      <c r="F23">
        <v>85.4</v>
      </c>
      <c r="G23" t="s">
        <v>24</v>
      </c>
      <c r="H23" t="s">
        <v>63</v>
      </c>
    </row>
    <row r="24" spans="1:8" x14ac:dyDescent="0.2">
      <c r="A24" t="s">
        <v>64</v>
      </c>
      <c r="B24" s="1">
        <v>46153</v>
      </c>
      <c r="C24" t="s">
        <v>10</v>
      </c>
      <c r="D24" t="s">
        <v>27</v>
      </c>
      <c r="E24" t="s">
        <v>28</v>
      </c>
      <c r="F24">
        <v>97.2</v>
      </c>
      <c r="G24" t="s">
        <v>13</v>
      </c>
      <c r="H24" t="s">
        <v>65</v>
      </c>
    </row>
    <row r="25" spans="1:8" x14ac:dyDescent="0.2">
      <c r="A25" t="s">
        <v>66</v>
      </c>
      <c r="B25" s="1">
        <v>46154</v>
      </c>
      <c r="C25" t="s">
        <v>16</v>
      </c>
      <c r="D25" t="s">
        <v>11</v>
      </c>
      <c r="E25" t="s">
        <v>12</v>
      </c>
      <c r="F25">
        <v>88.9</v>
      </c>
      <c r="G25" t="s">
        <v>24</v>
      </c>
      <c r="H25" t="s">
        <v>67</v>
      </c>
    </row>
    <row r="26" spans="1:8" x14ac:dyDescent="0.2">
      <c r="A26" t="s">
        <v>68</v>
      </c>
      <c r="B26" s="1">
        <v>46154</v>
      </c>
      <c r="C26" t="s">
        <v>21</v>
      </c>
      <c r="D26" t="s">
        <v>17</v>
      </c>
      <c r="E26" t="s">
        <v>23</v>
      </c>
      <c r="F26">
        <v>95.6</v>
      </c>
      <c r="G26" t="s">
        <v>13</v>
      </c>
      <c r="H26" t="s">
        <v>69</v>
      </c>
    </row>
    <row r="27" spans="1:8" x14ac:dyDescent="0.2">
      <c r="A27" t="s">
        <v>70</v>
      </c>
      <c r="B27" s="1">
        <v>46155</v>
      </c>
      <c r="C27" t="s">
        <v>10</v>
      </c>
      <c r="D27" t="s">
        <v>11</v>
      </c>
      <c r="E27" t="s">
        <v>12</v>
      </c>
      <c r="F27">
        <v>98.5</v>
      </c>
      <c r="G27" t="s">
        <v>13</v>
      </c>
      <c r="H27" t="s">
        <v>71</v>
      </c>
    </row>
    <row r="28" spans="1:8" x14ac:dyDescent="0.2">
      <c r="A28" t="s">
        <v>72</v>
      </c>
      <c r="B28" s="1">
        <v>46155</v>
      </c>
      <c r="C28" t="s">
        <v>16</v>
      </c>
      <c r="D28" t="s">
        <v>17</v>
      </c>
      <c r="E28" t="s">
        <v>18</v>
      </c>
      <c r="F28">
        <v>92.1</v>
      </c>
      <c r="G28" t="s">
        <v>13</v>
      </c>
      <c r="H28" t="s">
        <v>73</v>
      </c>
    </row>
    <row r="29" spans="1:8" x14ac:dyDescent="0.2">
      <c r="A29" t="s">
        <v>74</v>
      </c>
      <c r="B29" s="1">
        <v>46156</v>
      </c>
      <c r="C29" t="s">
        <v>21</v>
      </c>
      <c r="D29" t="s">
        <v>22</v>
      </c>
      <c r="E29" t="s">
        <v>23</v>
      </c>
      <c r="F29">
        <v>85.4</v>
      </c>
      <c r="G29" t="s">
        <v>24</v>
      </c>
      <c r="H29" t="s">
        <v>75</v>
      </c>
    </row>
    <row r="30" spans="1:8" x14ac:dyDescent="0.2">
      <c r="A30" t="s">
        <v>76</v>
      </c>
      <c r="B30" s="1">
        <v>46156</v>
      </c>
      <c r="C30" t="s">
        <v>10</v>
      </c>
      <c r="D30" t="s">
        <v>27</v>
      </c>
      <c r="E30" t="s">
        <v>28</v>
      </c>
      <c r="F30">
        <v>97.2</v>
      </c>
      <c r="G30" t="s">
        <v>13</v>
      </c>
      <c r="H30" t="s">
        <v>77</v>
      </c>
    </row>
    <row r="31" spans="1:8" x14ac:dyDescent="0.2">
      <c r="A31" t="s">
        <v>78</v>
      </c>
      <c r="B31" s="1">
        <v>46157</v>
      </c>
      <c r="C31" t="s">
        <v>16</v>
      </c>
      <c r="D31" t="s">
        <v>11</v>
      </c>
      <c r="E31" t="s">
        <v>12</v>
      </c>
      <c r="F31">
        <v>88.9</v>
      </c>
      <c r="G31" t="s">
        <v>24</v>
      </c>
      <c r="H31" t="s">
        <v>79</v>
      </c>
    </row>
    <row r="32" spans="1:8" x14ac:dyDescent="0.2">
      <c r="A32" t="s">
        <v>80</v>
      </c>
      <c r="B32" s="1">
        <v>46157</v>
      </c>
      <c r="C32" t="s">
        <v>21</v>
      </c>
      <c r="D32" t="s">
        <v>17</v>
      </c>
      <c r="E32" t="s">
        <v>23</v>
      </c>
      <c r="F32">
        <v>95.6</v>
      </c>
      <c r="G32" t="s">
        <v>13</v>
      </c>
      <c r="H32" t="s">
        <v>81</v>
      </c>
    </row>
    <row r="33" spans="1:8" x14ac:dyDescent="0.2">
      <c r="A33" t="s">
        <v>82</v>
      </c>
      <c r="B33" s="1">
        <v>46158</v>
      </c>
      <c r="C33" t="s">
        <v>10</v>
      </c>
      <c r="D33" t="s">
        <v>11</v>
      </c>
      <c r="E33" t="s">
        <v>12</v>
      </c>
      <c r="F33">
        <v>98.5</v>
      </c>
      <c r="G33" t="s">
        <v>13</v>
      </c>
      <c r="H33" t="s">
        <v>83</v>
      </c>
    </row>
    <row r="34" spans="1:8" x14ac:dyDescent="0.2">
      <c r="A34" t="s">
        <v>84</v>
      </c>
      <c r="B34" s="1">
        <v>46158</v>
      </c>
      <c r="C34" t="s">
        <v>16</v>
      </c>
      <c r="D34" t="s">
        <v>17</v>
      </c>
      <c r="E34" t="s">
        <v>18</v>
      </c>
      <c r="F34">
        <v>92.1</v>
      </c>
      <c r="G34" t="s">
        <v>13</v>
      </c>
      <c r="H34" t="s">
        <v>85</v>
      </c>
    </row>
    <row r="35" spans="1:8" x14ac:dyDescent="0.2">
      <c r="A35" t="s">
        <v>86</v>
      </c>
      <c r="B35" s="1">
        <v>46159</v>
      </c>
      <c r="C35" t="s">
        <v>21</v>
      </c>
      <c r="D35" t="s">
        <v>22</v>
      </c>
      <c r="E35" t="s">
        <v>23</v>
      </c>
      <c r="F35">
        <v>85.4</v>
      </c>
      <c r="G35" t="s">
        <v>24</v>
      </c>
      <c r="H35" t="s">
        <v>87</v>
      </c>
    </row>
    <row r="36" spans="1:8" x14ac:dyDescent="0.2">
      <c r="A36" t="s">
        <v>88</v>
      </c>
      <c r="B36" s="1">
        <v>46159</v>
      </c>
      <c r="C36" t="s">
        <v>10</v>
      </c>
      <c r="D36" t="s">
        <v>27</v>
      </c>
      <c r="E36" t="s">
        <v>28</v>
      </c>
      <c r="F36">
        <v>97.2</v>
      </c>
      <c r="G36" t="s">
        <v>13</v>
      </c>
      <c r="H36" t="s">
        <v>89</v>
      </c>
    </row>
    <row r="37" spans="1:8" x14ac:dyDescent="0.2">
      <c r="A37" t="s">
        <v>90</v>
      </c>
      <c r="B37" s="1">
        <v>46160</v>
      </c>
      <c r="C37" t="s">
        <v>16</v>
      </c>
      <c r="D37" t="s">
        <v>11</v>
      </c>
      <c r="E37" t="s">
        <v>12</v>
      </c>
      <c r="F37">
        <v>88.9</v>
      </c>
      <c r="G37" t="s">
        <v>24</v>
      </c>
      <c r="H37" t="s">
        <v>91</v>
      </c>
    </row>
    <row r="38" spans="1:8" x14ac:dyDescent="0.2">
      <c r="A38" t="s">
        <v>92</v>
      </c>
      <c r="B38" s="1">
        <v>46160</v>
      </c>
      <c r="C38" t="s">
        <v>21</v>
      </c>
      <c r="D38" t="s">
        <v>17</v>
      </c>
      <c r="E38" t="s">
        <v>23</v>
      </c>
      <c r="F38">
        <v>95.6</v>
      </c>
      <c r="G38" t="s">
        <v>13</v>
      </c>
      <c r="H38" t="s">
        <v>93</v>
      </c>
    </row>
    <row r="39" spans="1:8" x14ac:dyDescent="0.2">
      <c r="A39" t="s">
        <v>94</v>
      </c>
      <c r="B39" s="1">
        <v>46161</v>
      </c>
      <c r="C39" t="s">
        <v>10</v>
      </c>
      <c r="D39" t="s">
        <v>11</v>
      </c>
      <c r="E39" t="s">
        <v>12</v>
      </c>
      <c r="F39">
        <v>98.5</v>
      </c>
      <c r="G39" t="s">
        <v>13</v>
      </c>
      <c r="H39" t="s">
        <v>95</v>
      </c>
    </row>
    <row r="40" spans="1:8" x14ac:dyDescent="0.2">
      <c r="A40" t="s">
        <v>96</v>
      </c>
      <c r="B40" s="1">
        <v>46161</v>
      </c>
      <c r="C40" t="s">
        <v>16</v>
      </c>
      <c r="D40" t="s">
        <v>17</v>
      </c>
      <c r="E40" t="s">
        <v>18</v>
      </c>
      <c r="F40">
        <v>92.1</v>
      </c>
      <c r="G40" t="s">
        <v>13</v>
      </c>
      <c r="H40" t="s">
        <v>97</v>
      </c>
    </row>
    <row r="41" spans="1:8" x14ac:dyDescent="0.2">
      <c r="A41" t="s">
        <v>98</v>
      </c>
      <c r="B41" s="1">
        <v>46162</v>
      </c>
      <c r="C41" t="s">
        <v>21</v>
      </c>
      <c r="D41" t="s">
        <v>22</v>
      </c>
      <c r="E41" t="s">
        <v>23</v>
      </c>
      <c r="F41">
        <v>85.4</v>
      </c>
      <c r="G41" t="s">
        <v>24</v>
      </c>
      <c r="H41" t="s">
        <v>99</v>
      </c>
    </row>
    <row r="42" spans="1:8" x14ac:dyDescent="0.2">
      <c r="A42" t="s">
        <v>100</v>
      </c>
      <c r="B42" s="1">
        <v>46162</v>
      </c>
      <c r="C42" t="s">
        <v>10</v>
      </c>
      <c r="D42" t="s">
        <v>27</v>
      </c>
      <c r="E42" t="s">
        <v>28</v>
      </c>
      <c r="F42">
        <v>97.2</v>
      </c>
      <c r="G42" t="s">
        <v>13</v>
      </c>
      <c r="H42" t="s">
        <v>101</v>
      </c>
    </row>
    <row r="43" spans="1:8" x14ac:dyDescent="0.2">
      <c r="A43" t="s">
        <v>102</v>
      </c>
      <c r="B43" s="1">
        <v>46163</v>
      </c>
      <c r="C43" t="s">
        <v>16</v>
      </c>
      <c r="D43" t="s">
        <v>11</v>
      </c>
      <c r="E43" t="s">
        <v>12</v>
      </c>
      <c r="F43">
        <v>88.9</v>
      </c>
      <c r="G43" t="s">
        <v>24</v>
      </c>
      <c r="H43" t="s">
        <v>103</v>
      </c>
    </row>
    <row r="44" spans="1:8" x14ac:dyDescent="0.2">
      <c r="A44" t="s">
        <v>104</v>
      </c>
      <c r="B44" s="1">
        <v>46163</v>
      </c>
      <c r="C44" t="s">
        <v>21</v>
      </c>
      <c r="D44" t="s">
        <v>17</v>
      </c>
      <c r="E44" t="s">
        <v>23</v>
      </c>
      <c r="F44">
        <v>95.6</v>
      </c>
      <c r="G44" t="s">
        <v>13</v>
      </c>
      <c r="H44" t="s">
        <v>105</v>
      </c>
    </row>
    <row r="45" spans="1:8" x14ac:dyDescent="0.2">
      <c r="A45" t="s">
        <v>106</v>
      </c>
      <c r="B45" s="1">
        <v>46164</v>
      </c>
      <c r="C45" t="s">
        <v>10</v>
      </c>
      <c r="D45" t="s">
        <v>11</v>
      </c>
      <c r="E45" t="s">
        <v>12</v>
      </c>
      <c r="F45">
        <v>98.5</v>
      </c>
      <c r="G45" t="s">
        <v>13</v>
      </c>
      <c r="H45" t="s">
        <v>107</v>
      </c>
    </row>
    <row r="46" spans="1:8" x14ac:dyDescent="0.2">
      <c r="A46" t="s">
        <v>108</v>
      </c>
      <c r="B46" s="1">
        <v>46164</v>
      </c>
      <c r="C46" t="s">
        <v>16</v>
      </c>
      <c r="D46" t="s">
        <v>17</v>
      </c>
      <c r="E46" t="s">
        <v>18</v>
      </c>
      <c r="F46">
        <v>92.1</v>
      </c>
      <c r="G46" t="s">
        <v>13</v>
      </c>
      <c r="H46" t="s">
        <v>109</v>
      </c>
    </row>
    <row r="47" spans="1:8" x14ac:dyDescent="0.2">
      <c r="A47" t="s">
        <v>110</v>
      </c>
      <c r="B47" s="1">
        <v>46165</v>
      </c>
      <c r="C47" t="s">
        <v>21</v>
      </c>
      <c r="D47" t="s">
        <v>22</v>
      </c>
      <c r="E47" t="s">
        <v>23</v>
      </c>
      <c r="F47">
        <v>85.4</v>
      </c>
      <c r="G47" t="s">
        <v>24</v>
      </c>
      <c r="H47" t="s">
        <v>111</v>
      </c>
    </row>
    <row r="48" spans="1:8" x14ac:dyDescent="0.2">
      <c r="A48" t="s">
        <v>112</v>
      </c>
      <c r="B48" s="1">
        <v>46165</v>
      </c>
      <c r="C48" t="s">
        <v>10</v>
      </c>
      <c r="D48" t="s">
        <v>27</v>
      </c>
      <c r="E48" t="s">
        <v>28</v>
      </c>
      <c r="F48">
        <v>97.2</v>
      </c>
      <c r="G48" t="s">
        <v>13</v>
      </c>
      <c r="H48" t="s">
        <v>113</v>
      </c>
    </row>
    <row r="49" spans="1:8" x14ac:dyDescent="0.2">
      <c r="A49" t="s">
        <v>114</v>
      </c>
      <c r="B49" s="1">
        <v>46166</v>
      </c>
      <c r="C49" t="s">
        <v>16</v>
      </c>
      <c r="D49" t="s">
        <v>11</v>
      </c>
      <c r="E49" t="s">
        <v>12</v>
      </c>
      <c r="F49">
        <v>88.9</v>
      </c>
      <c r="G49" t="s">
        <v>24</v>
      </c>
      <c r="H49" t="s">
        <v>115</v>
      </c>
    </row>
    <row r="50" spans="1:8" x14ac:dyDescent="0.2">
      <c r="A50" t="s">
        <v>116</v>
      </c>
      <c r="B50" s="1">
        <v>46166</v>
      </c>
      <c r="C50" t="s">
        <v>21</v>
      </c>
      <c r="D50" t="s">
        <v>17</v>
      </c>
      <c r="E50" t="s">
        <v>23</v>
      </c>
      <c r="F50">
        <v>95.6</v>
      </c>
      <c r="G50" t="s">
        <v>13</v>
      </c>
      <c r="H50" t="s">
        <v>117</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Pass vs Fail Summary </vt:lpstr>
      <vt:lpstr>Failures by Instrument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nebiat tirfe</dc:creator>
  <cp:lastModifiedBy>nebiat tirfe</cp:lastModifiedBy>
  <dcterms:created xsi:type="dcterms:W3CDTF">2026-05-06T03:25:03Z</dcterms:created>
  <dcterms:modified xsi:type="dcterms:W3CDTF">2026-05-06T04:54:31Z</dcterms:modified>
</cp:coreProperties>
</file>